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s\"/>
    </mc:Choice>
  </mc:AlternateContent>
  <xr:revisionPtr revIDLastSave="0" documentId="13_ncr:1_{240C2DD9-799A-4C82-85E9-98CEF8BA3C51}" xr6:coauthVersionLast="47" xr6:coauthVersionMax="47" xr10:uidLastSave="{00000000-0000-0000-0000-000000000000}"/>
  <bookViews>
    <workbookView xWindow="-120" yWindow="-120" windowWidth="20730" windowHeight="11160" xr2:uid="{DDA9F6EC-CFCB-4486-B045-DF89674D2D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7" i="1" l="1"/>
  <c r="O2" i="1"/>
  <c r="O3" i="1"/>
  <c r="O4" i="1"/>
  <c r="O5" i="1"/>
  <c r="O6" i="1"/>
  <c r="J7" i="1"/>
  <c r="P7" i="1" s="1"/>
  <c r="J6" i="1"/>
  <c r="J5" i="1"/>
  <c r="J4" i="1"/>
  <c r="P4" i="1" s="1"/>
  <c r="J3" i="1"/>
  <c r="P3" i="1" s="1"/>
  <c r="J2" i="1"/>
  <c r="P2" i="1" s="1"/>
  <c r="P5" i="1" l="1"/>
  <c r="P6" i="1"/>
</calcChain>
</file>

<file path=xl/sharedStrings.xml><?xml version="1.0" encoding="utf-8"?>
<sst xmlns="http://schemas.openxmlformats.org/spreadsheetml/2006/main" count="40" uniqueCount="38">
  <si>
    <t>Employee ID</t>
  </si>
  <si>
    <t>Employee Name</t>
  </si>
  <si>
    <t>Department</t>
  </si>
  <si>
    <t>Designation</t>
  </si>
  <si>
    <t>Joining Date</t>
  </si>
  <si>
    <t>Basic Salary</t>
  </si>
  <si>
    <t>House Rent Allowance (HRA)</t>
  </si>
  <si>
    <t>Other Allowances</t>
  </si>
  <si>
    <t>Total Earnings</t>
  </si>
  <si>
    <t>Provident Fund (PF)</t>
  </si>
  <si>
    <t>Total Deductions</t>
  </si>
  <si>
    <t>Net Salary</t>
  </si>
  <si>
    <t>STS001</t>
  </si>
  <si>
    <t>STS002</t>
  </si>
  <si>
    <t>STS003</t>
  </si>
  <si>
    <t>STS004</t>
  </si>
  <si>
    <t>STS005</t>
  </si>
  <si>
    <t>Aryan</t>
  </si>
  <si>
    <t>Ranak</t>
  </si>
  <si>
    <t>Dhairya</t>
  </si>
  <si>
    <t>Homologation</t>
  </si>
  <si>
    <t>Sales</t>
  </si>
  <si>
    <t>IT</t>
  </si>
  <si>
    <t>Networking</t>
  </si>
  <si>
    <t>HR</t>
  </si>
  <si>
    <t>H.Engg</t>
  </si>
  <si>
    <t>N.Engg</t>
  </si>
  <si>
    <t>S.Engg</t>
  </si>
  <si>
    <t>it</t>
  </si>
  <si>
    <t xml:space="preserve">shourya </t>
  </si>
  <si>
    <t>Dhruva</t>
  </si>
  <si>
    <t>STS014</t>
  </si>
  <si>
    <t>lily scott</t>
  </si>
  <si>
    <t>ESI</t>
  </si>
  <si>
    <t>Proffessional tax</t>
  </si>
  <si>
    <t>TDS</t>
  </si>
  <si>
    <t>UIN Number</t>
  </si>
  <si>
    <t>s.engg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</si>
</sst>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D9902-D856-4831-B543-1729D7F487EC}">
  <dimension ref="A1:P7"/>
  <sheetViews>
    <sheetView tabSelected="1" workbookViewId="0">
      <selection activeCell="D7" sqref="D7"/>
    </sheetView>
  </sheetViews>
  <sheetFormatPr defaultRowHeight="15" x14ac:dyDescent="0.25"/>
  <cols>
    <col min="1" max="1" width="11.7109375" customWidth="1"/>
    <col min="2" max="2" width="17.5703125" customWidth="1"/>
    <col min="3" max="5" width="13.7109375" customWidth="1"/>
    <col min="6" max="6" width="13.5703125" customWidth="1"/>
    <col min="7" max="7" width="14.140625" customWidth="1"/>
    <col min="8" max="8" width="27.28515625" customWidth="1"/>
    <col min="9" max="9" width="18.140625" customWidth="1"/>
    <col min="10" max="10" width="16.28515625" customWidth="1"/>
    <col min="11" max="11" width="20.85546875" customWidth="1"/>
    <col min="12" max="12" width="18" customWidth="1"/>
    <col min="13" max="13" width="18.42578125" customWidth="1"/>
    <col min="14" max="14" width="15.42578125" customWidth="1"/>
    <col min="15" max="15" width="15.85546875" customWidth="1"/>
    <col min="16" max="16" width="14.4257812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33</v>
      </c>
      <c r="M1" t="s">
        <v>34</v>
      </c>
      <c r="N1" t="s">
        <v>35</v>
      </c>
      <c r="O1" t="s">
        <v>10</v>
      </c>
      <c r="P1" t="s">
        <v>11</v>
      </c>
    </row>
    <row r="2" spans="1:16" x14ac:dyDescent="0.25">
      <c r="A2" t="s">
        <v>12</v>
      </c>
      <c r="B2" t="s">
        <v>18</v>
      </c>
      <c r="C2" t="s">
        <v>22</v>
      </c>
      <c r="D2" t="s">
        <v>24</v>
      </c>
      <c r="E2">
        <v>1234</v>
      </c>
      <c r="F2" s="1">
        <v>45689</v>
      </c>
      <c r="G2">
        <v>10000</v>
      </c>
      <c r="H2">
        <v>3000</v>
      </c>
      <c r="I2">
        <v>2000</v>
      </c>
      <c r="J2">
        <f t="shared" ref="J2:J7" si="0">SUM(G2:I2)</f>
        <v>15000</v>
      </c>
      <c r="K2">
        <v>2500</v>
      </c>
      <c r="L2">
        <v>0</v>
      </c>
      <c r="M2">
        <v>1000</v>
      </c>
      <c r="N2">
        <v>1000</v>
      </c>
      <c r="O2">
        <f>K2+L2+M2+N2</f>
        <v>4500</v>
      </c>
      <c r="P2">
        <f>J2-O2</f>
        <v>10500</v>
      </c>
    </row>
    <row r="3" spans="1:16" x14ac:dyDescent="0.25">
      <c r="A3" t="s">
        <v>13</v>
      </c>
      <c r="B3" t="s">
        <v>17</v>
      </c>
      <c r="C3" t="s">
        <v>20</v>
      </c>
      <c r="D3" t="s">
        <v>25</v>
      </c>
      <c r="E3">
        <v>123</v>
      </c>
      <c r="F3" s="1">
        <v>45690</v>
      </c>
      <c r="G3">
        <v>20000</v>
      </c>
      <c r="H3">
        <v>3000</v>
      </c>
      <c r="I3">
        <v>2000</v>
      </c>
      <c r="J3">
        <f t="shared" si="0"/>
        <v>25000</v>
      </c>
      <c r="K3">
        <v>2500</v>
      </c>
      <c r="L3">
        <v>0</v>
      </c>
      <c r="M3">
        <v>1000</v>
      </c>
      <c r="N3">
        <v>1000</v>
      </c>
      <c r="O3">
        <f t="shared" ref="O3:O6" si="1">K3+L3+M3+N3</f>
        <v>4500</v>
      </c>
      <c r="P3">
        <f>J3-L3</f>
        <v>25000</v>
      </c>
    </row>
    <row r="4" spans="1:16" x14ac:dyDescent="0.25">
      <c r="A4" t="s">
        <v>14</v>
      </c>
      <c r="B4" t="s">
        <v>29</v>
      </c>
      <c r="C4" t="s">
        <v>23</v>
      </c>
      <c r="D4" t="s">
        <v>26</v>
      </c>
      <c r="E4">
        <v>1234</v>
      </c>
      <c r="F4" s="1">
        <v>45627</v>
      </c>
      <c r="G4">
        <v>25000</v>
      </c>
      <c r="H4">
        <v>3000</v>
      </c>
      <c r="I4">
        <v>2000</v>
      </c>
      <c r="J4">
        <f t="shared" si="0"/>
        <v>30000</v>
      </c>
      <c r="K4">
        <v>2500</v>
      </c>
      <c r="L4">
        <v>0</v>
      </c>
      <c r="M4">
        <v>1000</v>
      </c>
      <c r="N4">
        <v>500</v>
      </c>
      <c r="O4">
        <f t="shared" si="1"/>
        <v>4000</v>
      </c>
      <c r="P4">
        <f>J4-L4</f>
        <v>30000</v>
      </c>
    </row>
    <row r="5" spans="1:16" x14ac:dyDescent="0.25">
      <c r="A5" t="s">
        <v>15</v>
      </c>
      <c r="B5" t="s">
        <v>19</v>
      </c>
      <c r="C5" t="s">
        <v>21</v>
      </c>
      <c r="D5" t="s">
        <v>27</v>
      </c>
      <c r="E5">
        <v>1234</v>
      </c>
      <c r="F5" s="1">
        <v>45601</v>
      </c>
      <c r="G5">
        <v>30000</v>
      </c>
      <c r="H5">
        <v>3000</v>
      </c>
      <c r="I5">
        <v>2000</v>
      </c>
      <c r="J5">
        <f t="shared" si="0"/>
        <v>35000</v>
      </c>
      <c r="K5">
        <v>2500</v>
      </c>
      <c r="L5">
        <v>0</v>
      </c>
      <c r="M5">
        <v>1000</v>
      </c>
      <c r="N5">
        <v>1000</v>
      </c>
      <c r="O5">
        <f t="shared" si="1"/>
        <v>4500</v>
      </c>
      <c r="P5">
        <f>J5-L5</f>
        <v>35000</v>
      </c>
    </row>
    <row r="6" spans="1:16" x14ac:dyDescent="0.25">
      <c r="A6" t="s">
        <v>16</v>
      </c>
      <c r="B6" t="s">
        <v>30</v>
      </c>
      <c r="C6" t="s">
        <v>28</v>
      </c>
      <c r="D6" t="s">
        <v>27</v>
      </c>
      <c r="E6">
        <v>1234</v>
      </c>
      <c r="F6" s="1">
        <v>45602</v>
      </c>
      <c r="G6">
        <v>30000</v>
      </c>
      <c r="H6">
        <v>8000</v>
      </c>
      <c r="I6">
        <v>2000</v>
      </c>
      <c r="J6">
        <f t="shared" si="0"/>
        <v>40000</v>
      </c>
      <c r="K6">
        <v>2500</v>
      </c>
      <c r="L6">
        <v>0</v>
      </c>
      <c r="M6">
        <v>1000</v>
      </c>
      <c r="N6">
        <v>1000</v>
      </c>
      <c r="O6">
        <f t="shared" si="1"/>
        <v>4500</v>
      </c>
      <c r="P6">
        <f>J6-L6</f>
        <v>40000</v>
      </c>
    </row>
    <row r="7" spans="1:16" x14ac:dyDescent="0.25">
      <c r="A7" t="s">
        <v>31</v>
      </c>
      <c r="B7" t="s">
        <v>32</v>
      </c>
      <c r="C7" t="s">
        <v>28</v>
      </c>
      <c r="D7" t="s">
        <v>37</v>
      </c>
      <c r="E7">
        <v>123</v>
      </c>
      <c r="F7" s="1">
        <v>45603</v>
      </c>
      <c r="G7">
        <v>30000</v>
      </c>
      <c r="H7">
        <v>9000</v>
      </c>
      <c r="I7">
        <v>2000</v>
      </c>
      <c r="J7">
        <f t="shared" si="0"/>
        <v>41000</v>
      </c>
      <c r="K7">
        <v>8500</v>
      </c>
      <c r="L7">
        <v>0</v>
      </c>
      <c r="M7">
        <v>1000</v>
      </c>
      <c r="N7">
        <v>1000</v>
      </c>
      <c r="O7">
        <f>K7+L7+M7</f>
        <v>9500</v>
      </c>
      <c r="P7">
        <f>J7-O7</f>
        <v>31500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Nitu Ritu</dc:creator>
  <cp:lastModifiedBy>Nitu Ritu</cp:lastModifiedBy>
  <dcterms:created xsi:type="dcterms:W3CDTF">2025-02-21T18:36:37Z</dcterms:created>
  <dcterms:modified xsi:type="dcterms:W3CDTF">2025-03-12T12:19:14Z</dcterms:modified>
</cp:coreProperties>
</file>